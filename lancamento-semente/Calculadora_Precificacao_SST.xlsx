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C9A84C"/>
      <sz val="12"/>
    </font>
    <font>
      <name val="Arial"/>
      <b val="1"/>
      <color rgb="00FFFFFF"/>
      <sz val="11"/>
    </font>
    <font>
      <name val="Arial"/>
      <color rgb="00333333"/>
      <sz val="11"/>
    </font>
    <font>
      <name val="Arial"/>
      <color rgb="000000FF"/>
      <sz val="11"/>
    </font>
    <font>
      <name val="Arial"/>
      <b val="1"/>
      <color rgb="001A1A2E"/>
      <sz val="11"/>
    </font>
    <font>
      <name val="Arial"/>
      <b val="1"/>
      <color rgb="00333333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1A1A2E"/>
      <sz val="12"/>
    </font>
    <font>
      <name val="Arial"/>
      <b val="1"/>
      <color rgb="0010B981"/>
      <sz val="14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9A84C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CALCULADORA DE PRECIFICACAO - SERVICOS SST / NR-01</t>
        </is>
      </c>
    </row>
    <row r="2">
      <c r="A2" s="2" t="inlineStr">
        <is>
          <t>Preencha os campos em AZUL. Os resultados sao calculados automaticamente.</t>
        </is>
      </c>
    </row>
    <row r="4">
      <c r="A4" s="3" t="inlineStr">
        <is>
          <t>SEUS CUSTOS FIXOS MENSAIS</t>
        </is>
      </c>
    </row>
    <row r="5">
      <c r="A5" s="4" t="inlineStr">
        <is>
          <t>Item</t>
        </is>
      </c>
      <c r="B5" s="4" t="inlineStr">
        <is>
          <t>Valor (R$)</t>
        </is>
      </c>
    </row>
    <row r="6">
      <c r="A6" s="5" t="inlineStr">
        <is>
          <t>Plano SamurAI (Starter/Professional/Enterprise)</t>
        </is>
      </c>
      <c r="B6" s="6" t="n">
        <v>297</v>
      </c>
    </row>
    <row r="7">
      <c r="A7" s="5" t="inlineStr">
        <is>
          <t>Pro-labore / Salario</t>
        </is>
      </c>
      <c r="B7" s="6" t="n">
        <v>5000</v>
      </c>
    </row>
    <row r="8">
      <c r="A8" s="5" t="inlineStr">
        <is>
          <t>Aluguel / Coworking</t>
        </is>
      </c>
      <c r="B8" s="6" t="n">
        <v>800</v>
      </c>
    </row>
    <row r="9">
      <c r="A9" s="5" t="inlineStr">
        <is>
          <t>Internet + Telefone</t>
        </is>
      </c>
      <c r="B9" s="6" t="n">
        <v>200</v>
      </c>
    </row>
    <row r="10">
      <c r="A10" s="5" t="inlineStr">
        <is>
          <t>Contador</t>
        </is>
      </c>
      <c r="B10" s="6" t="n">
        <v>300</v>
      </c>
    </row>
    <row r="11">
      <c r="A11" s="5" t="inlineStr">
        <is>
          <t>Marketing / Anuncios</t>
        </is>
      </c>
      <c r="B11" s="6" t="n">
        <v>500</v>
      </c>
    </row>
    <row r="12">
      <c r="A12" s="5" t="inlineStr">
        <is>
          <t>Software adicional (Zoom, email, etc)</t>
        </is>
      </c>
      <c r="B12" s="6" t="n">
        <v>150</v>
      </c>
    </row>
    <row r="13">
      <c r="A13" s="5" t="inlineStr">
        <is>
          <t>Outros custos fixos</t>
        </is>
      </c>
      <c r="B13" s="6" t="n">
        <v>200</v>
      </c>
    </row>
    <row r="14">
      <c r="A14" s="7" t="inlineStr">
        <is>
          <t>TOTAL CUSTOS FIXOS</t>
        </is>
      </c>
      <c r="B14" s="8">
        <f>SUM(B6:B13)</f>
        <v/>
      </c>
    </row>
    <row r="16">
      <c r="A16" s="3" t="inlineStr">
        <is>
          <t>PRECIFICACAO POR SERVICO</t>
        </is>
      </c>
    </row>
    <row r="17">
      <c r="A17" s="4" t="inlineStr">
        <is>
          <t>Servico</t>
        </is>
      </c>
      <c r="B17" s="4" t="inlineStr">
        <is>
          <t>Horas estimadas</t>
        </is>
      </c>
      <c r="C17" s="4" t="inlineStr">
        <is>
          <t>Preco sugerido (R$)</t>
        </is>
      </c>
      <c r="D17" s="4" t="inlineStr">
        <is>
          <t>Margem sobre custo</t>
        </is>
      </c>
    </row>
    <row r="18">
      <c r="A18" s="9" t="inlineStr">
        <is>
          <t>Sua hora de trabalho desejada (R$)</t>
        </is>
      </c>
      <c r="B18" s="6" t="n">
        <v>150</v>
      </c>
    </row>
    <row r="19">
      <c r="A19" s="5" t="inlineStr">
        <is>
          <t>Avaliacao NR-01 completa (1 empresa, ate 50 func)</t>
        </is>
      </c>
      <c r="B19" s="10" t="n">
        <v>2</v>
      </c>
      <c r="C19" s="11">
        <f>B19*B18</f>
        <v/>
      </c>
      <c r="D19" s="12">
        <f>(C19-B19*(B14/160))/C19</f>
        <v/>
      </c>
    </row>
    <row r="20">
      <c r="A20" s="5" t="inlineStr">
        <is>
          <t>Avaliacao NR-01 completa (1 empresa, 51-200 func)</t>
        </is>
      </c>
      <c r="B20" s="10" t="n">
        <v>4</v>
      </c>
      <c r="C20" s="11">
        <f>B20*B18</f>
        <v/>
      </c>
      <c r="D20" s="12">
        <f>(C20-B20*(B14/160))/C20</f>
        <v/>
      </c>
    </row>
    <row r="21">
      <c r="A21" s="5" t="inlineStr">
        <is>
          <t>Avaliacao NR-01 completa (1 empresa, 200+ func)</t>
        </is>
      </c>
      <c r="B21" s="10" t="n">
        <v>8</v>
      </c>
      <c r="C21" s="11">
        <f>B21*B18</f>
        <v/>
      </c>
      <c r="D21" s="12">
        <f>(C21-B21*(B14/160))/C21</f>
        <v/>
      </c>
    </row>
    <row r="22">
      <c r="A22" s="5" t="inlineStr">
        <is>
          <t>Plano de Acao + Treinamento</t>
        </is>
      </c>
      <c r="B22" s="10" t="n">
        <v>6</v>
      </c>
      <c r="C22" s="11">
        <f>B22*B18</f>
        <v/>
      </c>
      <c r="D22" s="12">
        <f>(C22-B22*(B14/160))/C22</f>
        <v/>
      </c>
    </row>
    <row r="23">
      <c r="A23" s="5" t="inlineStr">
        <is>
          <t>Monitoramento mensal (pacote)</t>
        </is>
      </c>
      <c r="B23" s="10" t="n">
        <v>1</v>
      </c>
      <c r="C23" s="11">
        <f>B23*B18</f>
        <v/>
      </c>
      <c r="D23" s="12">
        <f>(C23-B23*(B14/160))/C23</f>
        <v/>
      </c>
    </row>
    <row r="24">
      <c r="A24" s="5" t="inlineStr">
        <is>
          <t>Consultoria avulsa (por hora)</t>
        </is>
      </c>
      <c r="B24" s="10" t="n">
        <v>1</v>
      </c>
      <c r="C24" s="11">
        <f>B24*B18</f>
        <v/>
      </c>
      <c r="D24" s="12">
        <f>(C24-B24*(B14/160))/C24</f>
        <v/>
      </c>
    </row>
    <row r="26">
      <c r="A26" s="3" t="inlineStr">
        <is>
          <t>PROJECAO DE FATURAMENTO MENSAL</t>
        </is>
      </c>
    </row>
    <row r="27">
      <c r="A27" s="4" t="inlineStr">
        <is>
          <t>Cenario</t>
        </is>
      </c>
      <c r="B27" s="4" t="inlineStr">
        <is>
          <t>Empresas/mes</t>
        </is>
      </c>
      <c r="C27" s="4" t="inlineStr">
        <is>
          <t>Ticket Medio (R$)</t>
        </is>
      </c>
      <c r="D27" s="4" t="inlineStr">
        <is>
          <t>Faturamento (R$)</t>
        </is>
      </c>
    </row>
    <row r="28">
      <c r="A28" s="13" t="inlineStr">
        <is>
          <t>Conservador</t>
        </is>
      </c>
      <c r="B28" s="14" t="n">
        <v>5</v>
      </c>
      <c r="C28" s="15">
        <f>C19</f>
        <v/>
      </c>
      <c r="D28" s="16">
        <f>B28*C28</f>
        <v/>
      </c>
    </row>
    <row r="29">
      <c r="A29" s="17" t="inlineStr">
        <is>
          <t>Moderado</t>
        </is>
      </c>
      <c r="B29" s="18" t="n">
        <v>10</v>
      </c>
      <c r="C29" s="19">
        <f>C19</f>
        <v/>
      </c>
      <c r="D29" s="20">
        <f>B29*C29</f>
        <v/>
      </c>
    </row>
    <row r="30">
      <c r="A30" s="13" t="inlineStr">
        <is>
          <t>Otimista</t>
        </is>
      </c>
      <c r="B30" s="14" t="n">
        <v>20</v>
      </c>
      <c r="C30" s="15">
        <f>C19</f>
        <v/>
      </c>
      <c r="D30" s="16">
        <f>B30*C30</f>
        <v/>
      </c>
    </row>
    <row r="31">
      <c r="A31" s="17" t="inlineStr">
        <is>
          <t>Agressivo (com SamurAI)</t>
        </is>
      </c>
      <c r="B31" s="18" t="n">
        <v>30</v>
      </c>
      <c r="C31" s="19">
        <f>C19</f>
        <v/>
      </c>
      <c r="D31" s="20">
        <f>B31*C31</f>
        <v/>
      </c>
    </row>
    <row r="33">
      <c r="A33" s="21" t="inlineStr">
        <is>
          <t>LUCRO LIQUIDO (Cenario Moderado)</t>
        </is>
      </c>
      <c r="D33" s="22">
        <f>D29-B14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2026-03-20T01:40:11Z</dcterms:created>
  <dcterms:modified xmlns:dcterms="http://purl.org/dc/terms/" xmlns:xsi="http://www.w3.org/2001/XMLSchema-instance" xsi:type="dcterms:W3CDTF">2026-03-20T01:40:11Z</dcterms:modified>
</cp:coreProperties>
</file>